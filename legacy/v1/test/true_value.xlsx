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hD\llm_meta_analysis_new\"/>
    </mc:Choice>
  </mc:AlternateContent>
  <xr:revisionPtr revIDLastSave="0" documentId="13_ncr:1_{7DEEEAFD-2DB9-46B2-AEC0-2649495A86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1" l="1"/>
  <c r="F45" i="1"/>
  <c r="T44" i="1"/>
  <c r="F44" i="1"/>
</calcChain>
</file>

<file path=xl/sharedStrings.xml><?xml version="1.0" encoding="utf-8"?>
<sst xmlns="http://schemas.openxmlformats.org/spreadsheetml/2006/main" count="363" uniqueCount="81">
  <si>
    <t>ID</t>
  </si>
  <si>
    <t>filename</t>
  </si>
  <si>
    <t>Country</t>
  </si>
  <si>
    <t>Male Sample Size</t>
  </si>
  <si>
    <t>Female Sample Size</t>
  </si>
  <si>
    <t>Percent of white male participants</t>
  </si>
  <si>
    <t>Percent of white female participants</t>
  </si>
  <si>
    <t>Mean age of male participants</t>
  </si>
  <si>
    <t>Mean age of female participants</t>
  </si>
  <si>
    <t>Percent of college or higher male participants</t>
  </si>
  <si>
    <t>Percent of college or higher female participants</t>
  </si>
  <si>
    <t>Mean BMI of male participants</t>
  </si>
  <si>
    <t>Mean BMI of female participants</t>
  </si>
  <si>
    <t>Correlation between male body appreciation and BMI</t>
  </si>
  <si>
    <t>Correlation between female body appreciation and BMI</t>
  </si>
  <si>
    <t>Al Otaibi,2018</t>
  </si>
  <si>
    <t>none</t>
  </si>
  <si>
    <t>Alcaraz-Ibáñez et al.,2017</t>
  </si>
  <si>
    <t>Alleva et al.,2016</t>
  </si>
  <si>
    <t>Alleva et al.,2018</t>
  </si>
  <si>
    <t>Atari,2016</t>
  </si>
  <si>
    <t>Benford et al.,2014</t>
  </si>
  <si>
    <t>Bento et al.,2017</t>
  </si>
  <si>
    <t>Cotter et al.,2015</t>
  </si>
  <si>
    <t>da Silva et al.,2018</t>
  </si>
  <si>
    <t>Ferreira et al.,2017</t>
  </si>
  <si>
    <t>Gillen et al.,2017</t>
  </si>
  <si>
    <t>Homan et al.,2015</t>
  </si>
  <si>
    <t>Homan,2016</t>
  </si>
  <si>
    <t>Homan et al.,2016</t>
  </si>
  <si>
    <t>Howell,2018</t>
  </si>
  <si>
    <t>Hurst et al.,2017</t>
  </si>
  <si>
    <t>Iannantuono et al.,2012</t>
  </si>
  <si>
    <t>Junqueira et al.,2019</t>
  </si>
  <si>
    <t>Kelly et al.,2016</t>
  </si>
  <si>
    <t>Lemoine et al.,2018a1</t>
  </si>
  <si>
    <t>Luo et al.,2019</t>
  </si>
  <si>
    <t>Luu,2014</t>
  </si>
  <si>
    <t>Marta-Simões et al.,2016</t>
  </si>
  <si>
    <t>Marta‑Simões et al.,2019</t>
  </si>
  <si>
    <t>Marta‑Simões et al.,2018</t>
  </si>
  <si>
    <t>Mendes et al.,2018</t>
  </si>
  <si>
    <t>Miller et al.,2019</t>
  </si>
  <si>
    <t>Moreira et al.,2018</t>
  </si>
  <si>
    <t>Ng et al.,2015</t>
  </si>
  <si>
    <t>Oliveira et al.,2016</t>
  </si>
  <si>
    <t>Pinto et al.,2017</t>
  </si>
  <si>
    <t>Ramseyer Winter et al.,2015</t>
  </si>
  <si>
    <t>Razmus et al.,2017</t>
  </si>
  <si>
    <t>Robins et al.,2018</t>
  </si>
  <si>
    <t>Satinsky et al.,2012</t>
  </si>
  <si>
    <t>Swami &amp; Chamorro-Premuzic,2008</t>
  </si>
  <si>
    <t>Swami, Stieger et al.,2008</t>
  </si>
  <si>
    <t>Swami,2009</t>
  </si>
  <si>
    <t>Swami &amp; Abbasnejad,2010</t>
  </si>
  <si>
    <t>Swami, Begum et al.,2010</t>
  </si>
  <si>
    <t>Swami et al.,2011</t>
  </si>
  <si>
    <t>Swami &amp; Jaafar,2012</t>
  </si>
  <si>
    <t>Swami, Mada et al.,2012a1</t>
  </si>
  <si>
    <t>Swami, Tran et al.,2015a1</t>
  </si>
  <si>
    <t>Swami &amp; Ng,2015</t>
  </si>
  <si>
    <t>Swami, Barron et al.,2016</t>
  </si>
  <si>
    <t>Swami, Ng et al.,2016</t>
  </si>
  <si>
    <t>Swami, Weis et al.,2017</t>
  </si>
  <si>
    <t>Swami, Tudorel et al.,2017</t>
  </si>
  <si>
    <t>Swami et al.,2018</t>
  </si>
  <si>
    <t>Swami et al.,2019</t>
  </si>
  <si>
    <t>Thall,2014</t>
  </si>
  <si>
    <t>Todd et al.,2019</t>
  </si>
  <si>
    <t>Tylka et al.,2015</t>
  </si>
  <si>
    <t>Vally et al.,2018</t>
  </si>
  <si>
    <t>Van Diest et al.,2010</t>
  </si>
  <si>
    <t>Wasylkiw et al.,2014</t>
  </si>
  <si>
    <t>Webb et al.,2014</t>
  </si>
  <si>
    <t>Webb,2015</t>
  </si>
  <si>
    <t>Webb et al.,2018</t>
  </si>
  <si>
    <t>Publication type (Journal or Dissertation)</t>
    <phoneticPr fontId="1" type="noConversion"/>
  </si>
  <si>
    <t>Survey method (paper-and-pencil, online)</t>
    <phoneticPr fontId="1" type="noConversion"/>
  </si>
  <si>
    <t>Source of sample (community, college, primary/secondary/ high school)</t>
    <phoneticPr fontId="1" type="noConversion"/>
  </si>
  <si>
    <t>Assessment of BA</t>
    <phoneticPr fontId="1" type="noConversion"/>
  </si>
  <si>
    <t>Assessment of BMI (self-reported or measured)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</si>
</sst>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10" fontId="0" fillId="0" borderId="1" xfId="0" applyNumberFormat="1" applyBorder="1"/>
    <xf numFmtId="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tabSelected="1" workbookViewId="0">
      <selection activeCell="P1" sqref="P1"/>
    </sheetView>
  </sheetViews>
  <sheetFormatPr defaultColWidth="11.5" defaultRowHeight="14.25" x14ac:dyDescent="0.2"/>
  <cols>
    <col min="1" max="1" width="4.5" style="1" customWidth="1"/>
    <col min="2" max="2" width="15.5" style="1" customWidth="1"/>
    <col min="3" max="18" width="10.875" style="1" customWidth="1"/>
    <col min="19" max="16384" width="11.5" style="1"/>
  </cols>
  <sheetData>
    <row r="1" spans="1:20" ht="15" x14ac:dyDescent="0.2">
      <c r="A1" s="1" t="s">
        <v>0</v>
      </c>
      <c r="B1" s="1" t="s">
        <v>1</v>
      </c>
      <c r="C1" s="2" t="s">
        <v>76</v>
      </c>
      <c r="D1" s="2" t="s">
        <v>2</v>
      </c>
      <c r="E1" s="2" t="s">
        <v>3</v>
      </c>
      <c r="F1" s="2" t="s">
        <v>4</v>
      </c>
      <c r="G1" s="2" t="s">
        <v>77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78</v>
      </c>
      <c r="Q1" s="2" t="s">
        <v>79</v>
      </c>
      <c r="R1" s="2" t="s">
        <v>80</v>
      </c>
      <c r="S1" s="2" t="s">
        <v>13</v>
      </c>
      <c r="T1" s="2" t="s">
        <v>14</v>
      </c>
    </row>
    <row r="2" spans="1:20" x14ac:dyDescent="0.2">
      <c r="A2" s="1">
        <v>1</v>
      </c>
      <c r="B2" s="1" t="s">
        <v>15</v>
      </c>
      <c r="C2" s="1">
        <v>1</v>
      </c>
      <c r="D2" s="1">
        <v>4</v>
      </c>
      <c r="E2" s="1" t="s">
        <v>16</v>
      </c>
      <c r="F2" s="1">
        <v>326</v>
      </c>
      <c r="G2" s="1">
        <v>1</v>
      </c>
      <c r="H2" s="1" t="s">
        <v>16</v>
      </c>
      <c r="I2" s="3" t="s">
        <v>16</v>
      </c>
      <c r="J2" s="1" t="s">
        <v>16</v>
      </c>
      <c r="K2" s="1">
        <v>49.14</v>
      </c>
      <c r="L2" s="1" t="s">
        <v>16</v>
      </c>
      <c r="M2" s="3">
        <v>0.33400000000000002</v>
      </c>
      <c r="N2" s="1" t="s">
        <v>16</v>
      </c>
      <c r="O2" s="1">
        <v>29.64</v>
      </c>
      <c r="P2" s="1">
        <v>3</v>
      </c>
      <c r="Q2" s="1">
        <v>1</v>
      </c>
      <c r="R2" s="1">
        <v>2</v>
      </c>
      <c r="S2" s="1" t="s">
        <v>16</v>
      </c>
      <c r="T2" s="1">
        <v>-0.23699999999999999</v>
      </c>
    </row>
    <row r="3" spans="1:20" x14ac:dyDescent="0.2">
      <c r="A3" s="1">
        <v>2</v>
      </c>
      <c r="B3" s="1" t="s">
        <v>17</v>
      </c>
      <c r="C3" s="1">
        <v>1</v>
      </c>
      <c r="D3" s="1">
        <v>3</v>
      </c>
      <c r="E3" s="1">
        <v>438</v>
      </c>
      <c r="F3" s="1">
        <v>402</v>
      </c>
      <c r="G3" s="1">
        <v>2</v>
      </c>
      <c r="H3" s="3" t="s">
        <v>16</v>
      </c>
      <c r="I3" s="3" t="s">
        <v>16</v>
      </c>
      <c r="J3" s="1">
        <v>15.5</v>
      </c>
      <c r="K3" s="1">
        <v>15.51</v>
      </c>
      <c r="L3" s="1" t="s">
        <v>16</v>
      </c>
      <c r="M3" s="1" t="s">
        <v>16</v>
      </c>
      <c r="N3" s="1">
        <v>21.87</v>
      </c>
      <c r="O3" s="1">
        <v>21.67</v>
      </c>
      <c r="P3" s="1">
        <v>1</v>
      </c>
      <c r="Q3" s="1">
        <v>2</v>
      </c>
      <c r="R3" s="1">
        <v>1</v>
      </c>
      <c r="S3" s="1">
        <v>-0.2</v>
      </c>
      <c r="T3" s="1">
        <v>-0.25</v>
      </c>
    </row>
    <row r="4" spans="1:20" x14ac:dyDescent="0.2">
      <c r="A4" s="1">
        <v>3</v>
      </c>
      <c r="B4" s="1" t="s">
        <v>18</v>
      </c>
      <c r="C4" s="1">
        <v>1</v>
      </c>
      <c r="D4" s="1">
        <v>2</v>
      </c>
      <c r="E4" s="1" t="s">
        <v>16</v>
      </c>
      <c r="F4" s="1">
        <v>310</v>
      </c>
      <c r="G4" s="1">
        <v>1</v>
      </c>
      <c r="H4" s="1" t="s">
        <v>16</v>
      </c>
      <c r="I4" s="3">
        <v>0.98060000000000003</v>
      </c>
      <c r="J4" s="1" t="s">
        <v>16</v>
      </c>
      <c r="K4" s="1">
        <v>21.31</v>
      </c>
      <c r="L4" s="1" t="s">
        <v>16</v>
      </c>
      <c r="M4" s="3">
        <v>1</v>
      </c>
      <c r="N4" s="1" t="s">
        <v>16</v>
      </c>
      <c r="O4" s="1">
        <v>22.14</v>
      </c>
      <c r="P4" s="1">
        <v>2</v>
      </c>
      <c r="Q4" s="1">
        <v>2</v>
      </c>
      <c r="R4" s="1" t="s">
        <v>16</v>
      </c>
      <c r="S4" s="1" t="s">
        <v>16</v>
      </c>
      <c r="T4" s="1">
        <v>-0.14000000000000001</v>
      </c>
    </row>
    <row r="5" spans="1:20" x14ac:dyDescent="0.2">
      <c r="A5" s="1">
        <v>4</v>
      </c>
      <c r="B5" s="1" t="s">
        <v>19</v>
      </c>
      <c r="C5" s="1">
        <v>1</v>
      </c>
      <c r="D5" s="1">
        <v>2</v>
      </c>
      <c r="E5" s="1">
        <v>440</v>
      </c>
      <c r="F5" s="1" t="s">
        <v>16</v>
      </c>
      <c r="G5" s="1">
        <v>1</v>
      </c>
      <c r="H5" s="3">
        <v>0.90680000000000005</v>
      </c>
      <c r="I5" s="1" t="s">
        <v>16</v>
      </c>
      <c r="J5" s="1">
        <v>39.130000000000003</v>
      </c>
      <c r="K5" s="1" t="s">
        <v>16</v>
      </c>
      <c r="L5" s="3">
        <v>0.51590000000000003</v>
      </c>
      <c r="M5" s="1" t="s">
        <v>16</v>
      </c>
      <c r="N5" s="1">
        <v>25.74</v>
      </c>
      <c r="O5" s="1" t="s">
        <v>16</v>
      </c>
      <c r="P5" s="1">
        <v>3</v>
      </c>
      <c r="Q5" s="1">
        <v>1</v>
      </c>
      <c r="R5" s="1">
        <v>1</v>
      </c>
      <c r="S5" s="1">
        <v>-0.247</v>
      </c>
      <c r="T5" s="1" t="s">
        <v>16</v>
      </c>
    </row>
    <row r="6" spans="1:20" x14ac:dyDescent="0.2">
      <c r="A6" s="1">
        <v>5</v>
      </c>
      <c r="B6" s="1" t="s">
        <v>20</v>
      </c>
      <c r="C6" s="1">
        <v>1</v>
      </c>
      <c r="D6" s="1">
        <v>4</v>
      </c>
      <c r="E6" s="1">
        <v>568</v>
      </c>
      <c r="F6" s="1">
        <v>525</v>
      </c>
      <c r="G6" s="1">
        <v>2</v>
      </c>
      <c r="H6" s="3" t="s">
        <v>16</v>
      </c>
      <c r="I6" s="3" t="s">
        <v>16</v>
      </c>
      <c r="J6" s="1">
        <v>26.16</v>
      </c>
      <c r="K6" s="1">
        <v>25.54</v>
      </c>
      <c r="L6" s="3">
        <v>1</v>
      </c>
      <c r="M6" s="3">
        <v>1</v>
      </c>
      <c r="N6" s="1">
        <v>25.17</v>
      </c>
      <c r="O6" s="1">
        <v>22.07</v>
      </c>
      <c r="P6" s="1">
        <v>2</v>
      </c>
      <c r="Q6" s="1">
        <v>2</v>
      </c>
      <c r="R6" s="1">
        <v>1</v>
      </c>
      <c r="S6" s="1">
        <v>0.12</v>
      </c>
      <c r="T6" s="1">
        <v>-0.24</v>
      </c>
    </row>
    <row r="7" spans="1:20" x14ac:dyDescent="0.2">
      <c r="A7" s="1">
        <v>6</v>
      </c>
      <c r="B7" s="1" t="s">
        <v>21</v>
      </c>
      <c r="C7" s="1">
        <v>1</v>
      </c>
      <c r="D7" s="1">
        <v>2</v>
      </c>
      <c r="E7" s="1">
        <v>509</v>
      </c>
      <c r="F7" s="1" t="s">
        <v>16</v>
      </c>
      <c r="G7" s="1">
        <v>2</v>
      </c>
      <c r="H7" s="3">
        <v>0.73099999999999998</v>
      </c>
      <c r="I7" s="1" t="s">
        <v>16</v>
      </c>
      <c r="J7" s="1">
        <v>25.18</v>
      </c>
      <c r="K7" s="1" t="s">
        <v>16</v>
      </c>
      <c r="L7" s="3">
        <v>0.252</v>
      </c>
      <c r="M7" s="1" t="s">
        <v>16</v>
      </c>
      <c r="N7" s="1">
        <v>24.01</v>
      </c>
      <c r="O7" s="1" t="s">
        <v>16</v>
      </c>
      <c r="P7" s="1">
        <v>3</v>
      </c>
      <c r="Q7" s="1">
        <v>1</v>
      </c>
      <c r="R7" s="1">
        <v>1</v>
      </c>
      <c r="S7" s="1">
        <v>-0.12</v>
      </c>
      <c r="T7" s="1" t="s">
        <v>16</v>
      </c>
    </row>
    <row r="8" spans="1:20" x14ac:dyDescent="0.2">
      <c r="A8" s="1">
        <v>7</v>
      </c>
      <c r="B8" s="1" t="s">
        <v>22</v>
      </c>
      <c r="C8" s="1">
        <v>1</v>
      </c>
      <c r="D8" s="1">
        <v>2</v>
      </c>
      <c r="E8" s="1" t="s">
        <v>16</v>
      </c>
      <c r="F8" s="1">
        <v>369</v>
      </c>
      <c r="G8" s="1">
        <v>2</v>
      </c>
      <c r="H8" s="1" t="s">
        <v>16</v>
      </c>
      <c r="I8" s="1" t="s">
        <v>16</v>
      </c>
      <c r="J8" s="1" t="s">
        <v>16</v>
      </c>
      <c r="K8" s="1">
        <v>26.84</v>
      </c>
      <c r="L8" s="1" t="s">
        <v>16</v>
      </c>
      <c r="M8" s="1" t="s">
        <v>16</v>
      </c>
      <c r="N8" s="1" t="s">
        <v>16</v>
      </c>
      <c r="O8" s="1">
        <v>23.21</v>
      </c>
      <c r="P8" s="1">
        <v>3</v>
      </c>
      <c r="Q8" s="1">
        <v>2</v>
      </c>
      <c r="R8" s="1">
        <v>1</v>
      </c>
      <c r="S8" s="1" t="s">
        <v>16</v>
      </c>
      <c r="T8" s="1">
        <v>-0.27</v>
      </c>
    </row>
    <row r="9" spans="1:20" x14ac:dyDescent="0.2">
      <c r="A9" s="1">
        <v>8</v>
      </c>
      <c r="B9" s="1" t="s">
        <v>23</v>
      </c>
      <c r="C9" s="1">
        <v>1</v>
      </c>
      <c r="D9" s="1">
        <v>1</v>
      </c>
      <c r="E9" s="1" t="s">
        <v>16</v>
      </c>
      <c r="F9" s="1">
        <v>228</v>
      </c>
      <c r="G9" s="1">
        <v>1</v>
      </c>
      <c r="H9" s="1" t="s">
        <v>16</v>
      </c>
      <c r="I9" s="3" t="s">
        <v>16</v>
      </c>
      <c r="J9" s="1" t="s">
        <v>16</v>
      </c>
      <c r="K9" s="1">
        <v>19.89</v>
      </c>
      <c r="L9" s="1" t="s">
        <v>16</v>
      </c>
      <c r="M9" s="3">
        <v>1</v>
      </c>
      <c r="N9" s="1" t="s">
        <v>16</v>
      </c>
      <c r="O9" s="1">
        <v>24.71</v>
      </c>
      <c r="P9" s="1">
        <v>2</v>
      </c>
      <c r="Q9" s="1">
        <v>1</v>
      </c>
      <c r="R9" s="1">
        <v>1</v>
      </c>
      <c r="S9" s="1" t="s">
        <v>16</v>
      </c>
      <c r="T9" s="1">
        <v>-0.45</v>
      </c>
    </row>
    <row r="10" spans="1:20" x14ac:dyDescent="0.2">
      <c r="A10" s="1">
        <v>9</v>
      </c>
      <c r="B10" s="1" t="s">
        <v>24</v>
      </c>
      <c r="C10" s="1">
        <v>1</v>
      </c>
      <c r="D10" s="1">
        <v>3</v>
      </c>
      <c r="E10" s="1">
        <v>136</v>
      </c>
      <c r="F10" s="1">
        <v>152</v>
      </c>
      <c r="G10" s="1">
        <v>2</v>
      </c>
      <c r="H10" s="3">
        <v>0.85699999999999998</v>
      </c>
      <c r="I10" s="3">
        <v>0.85699999999999998</v>
      </c>
      <c r="J10" s="1">
        <v>24.04</v>
      </c>
      <c r="K10" s="1">
        <v>23.97</v>
      </c>
      <c r="L10" s="3">
        <v>0.69199999999999995</v>
      </c>
      <c r="M10" s="3">
        <v>0.69199999999999995</v>
      </c>
      <c r="N10" s="1">
        <v>24.96</v>
      </c>
      <c r="O10" s="1">
        <v>23.29</v>
      </c>
      <c r="P10" s="1">
        <v>3</v>
      </c>
      <c r="Q10" s="1">
        <v>1</v>
      </c>
      <c r="R10" s="1">
        <v>1</v>
      </c>
      <c r="S10" s="1">
        <v>-0.28699999999999998</v>
      </c>
      <c r="T10" s="1">
        <v>-0.41199999999999998</v>
      </c>
    </row>
    <row r="11" spans="1:20" x14ac:dyDescent="0.2">
      <c r="A11" s="1">
        <v>10</v>
      </c>
      <c r="B11" s="1" t="s">
        <v>25</v>
      </c>
      <c r="C11" s="1">
        <v>1</v>
      </c>
      <c r="D11" s="1">
        <v>2</v>
      </c>
      <c r="E11" s="1" t="s">
        <v>16</v>
      </c>
      <c r="F11" s="1">
        <v>490</v>
      </c>
      <c r="G11" s="1">
        <v>2</v>
      </c>
      <c r="H11" s="1" t="s">
        <v>16</v>
      </c>
      <c r="I11" s="1" t="s">
        <v>16</v>
      </c>
      <c r="J11" s="1" t="s">
        <v>16</v>
      </c>
      <c r="K11" s="1">
        <v>24.76</v>
      </c>
      <c r="L11" s="1" t="s">
        <v>16</v>
      </c>
      <c r="M11" s="1" t="s">
        <v>16</v>
      </c>
      <c r="N11" s="1" t="s">
        <v>16</v>
      </c>
      <c r="O11" s="1">
        <v>22.29</v>
      </c>
      <c r="P11" s="1">
        <v>3</v>
      </c>
      <c r="Q11" s="1">
        <v>2</v>
      </c>
      <c r="R11" s="1">
        <v>1</v>
      </c>
      <c r="S11" s="1" t="s">
        <v>16</v>
      </c>
      <c r="T11" s="1">
        <v>-0.37</v>
      </c>
    </row>
    <row r="12" spans="1:20" x14ac:dyDescent="0.2">
      <c r="A12" s="1">
        <v>11</v>
      </c>
      <c r="B12" s="1" t="s">
        <v>26</v>
      </c>
      <c r="C12" s="1">
        <v>1</v>
      </c>
      <c r="D12" s="1">
        <v>1</v>
      </c>
      <c r="E12" s="1">
        <v>102</v>
      </c>
      <c r="F12" s="1">
        <v>159</v>
      </c>
      <c r="G12" s="1">
        <v>2</v>
      </c>
      <c r="H12" s="3">
        <v>0.44400000000000001</v>
      </c>
      <c r="I12" s="3">
        <v>0.44400000000000001</v>
      </c>
      <c r="J12" s="1">
        <v>20.16</v>
      </c>
      <c r="K12" s="1">
        <v>20.16</v>
      </c>
      <c r="L12" s="3">
        <v>1</v>
      </c>
      <c r="M12" s="3">
        <v>1</v>
      </c>
      <c r="N12" s="1">
        <v>24.52</v>
      </c>
      <c r="O12" s="1">
        <v>24.12</v>
      </c>
      <c r="P12" s="1">
        <v>2</v>
      </c>
      <c r="Q12" s="1">
        <v>1</v>
      </c>
      <c r="R12" s="1">
        <v>1</v>
      </c>
      <c r="S12" s="1">
        <v>-0.31</v>
      </c>
      <c r="T12" s="1">
        <v>-0.31</v>
      </c>
    </row>
    <row r="13" spans="1:20" x14ac:dyDescent="0.2">
      <c r="A13" s="1">
        <v>12</v>
      </c>
      <c r="B13" s="1" t="s">
        <v>27</v>
      </c>
      <c r="C13" s="1">
        <v>1</v>
      </c>
      <c r="D13" s="1">
        <v>1</v>
      </c>
      <c r="E13" s="1" t="s">
        <v>16</v>
      </c>
      <c r="F13" s="1">
        <v>263</v>
      </c>
      <c r="G13" s="1">
        <v>1</v>
      </c>
      <c r="H13" s="1" t="s">
        <v>16</v>
      </c>
      <c r="I13" s="3">
        <v>0.77900000000000003</v>
      </c>
      <c r="J13" s="1" t="s">
        <v>16</v>
      </c>
      <c r="K13" s="1">
        <v>35.76</v>
      </c>
      <c r="L13" s="1" t="s">
        <v>16</v>
      </c>
      <c r="M13" s="3">
        <v>0.86599999999999999</v>
      </c>
      <c r="N13" s="1" t="s">
        <v>16</v>
      </c>
      <c r="O13" s="1">
        <v>26.23</v>
      </c>
      <c r="P13" s="1">
        <v>3</v>
      </c>
      <c r="Q13" s="1">
        <v>1</v>
      </c>
      <c r="R13" s="1">
        <v>1</v>
      </c>
      <c r="S13" s="1" t="s">
        <v>16</v>
      </c>
      <c r="T13" s="1">
        <v>-0.37</v>
      </c>
    </row>
    <row r="14" spans="1:20" x14ac:dyDescent="0.2">
      <c r="A14" s="1">
        <v>13</v>
      </c>
      <c r="B14" s="1" t="s">
        <v>28</v>
      </c>
      <c r="C14" s="1">
        <v>1</v>
      </c>
      <c r="D14" s="1">
        <v>1</v>
      </c>
      <c r="E14" s="1">
        <v>142</v>
      </c>
      <c r="F14" s="1">
        <v>104</v>
      </c>
      <c r="G14" s="1">
        <v>1</v>
      </c>
      <c r="H14" s="3">
        <v>0.72699999999999998</v>
      </c>
      <c r="I14" s="3">
        <v>0.72699999999999998</v>
      </c>
      <c r="J14" s="1">
        <v>32.31</v>
      </c>
      <c r="K14" s="1">
        <v>32.31</v>
      </c>
      <c r="L14" s="1" t="s">
        <v>16</v>
      </c>
      <c r="M14" s="1" t="s">
        <v>16</v>
      </c>
      <c r="N14" s="1">
        <v>26.43</v>
      </c>
      <c r="O14" s="1">
        <v>26.29</v>
      </c>
      <c r="P14" s="1">
        <v>3</v>
      </c>
      <c r="Q14" s="1">
        <v>2</v>
      </c>
      <c r="R14" s="1">
        <v>1</v>
      </c>
      <c r="S14" s="1">
        <v>-0.31</v>
      </c>
      <c r="T14" s="1">
        <v>-0.34</v>
      </c>
    </row>
    <row r="15" spans="1:20" x14ac:dyDescent="0.2">
      <c r="A15" s="1">
        <v>14</v>
      </c>
      <c r="B15" s="1" t="s">
        <v>29</v>
      </c>
      <c r="C15" s="1">
        <v>1</v>
      </c>
      <c r="D15" s="1">
        <v>1</v>
      </c>
      <c r="E15" s="1" t="s">
        <v>16</v>
      </c>
      <c r="F15" s="1">
        <v>186</v>
      </c>
      <c r="G15" s="1">
        <v>2</v>
      </c>
      <c r="H15" s="1" t="s">
        <v>16</v>
      </c>
      <c r="I15" s="3">
        <v>0.89300000000000002</v>
      </c>
      <c r="J15" s="1" t="s">
        <v>16</v>
      </c>
      <c r="K15" s="1">
        <v>19.899999999999999</v>
      </c>
      <c r="L15" s="1" t="s">
        <v>16</v>
      </c>
      <c r="M15" s="3">
        <v>1</v>
      </c>
      <c r="N15" s="1" t="s">
        <v>16</v>
      </c>
      <c r="O15" s="1">
        <v>22.44</v>
      </c>
      <c r="P15" s="1">
        <v>2</v>
      </c>
      <c r="Q15" s="1">
        <v>1</v>
      </c>
      <c r="R15" s="1">
        <v>1</v>
      </c>
      <c r="S15" s="1" t="s">
        <v>16</v>
      </c>
      <c r="T15" s="1">
        <v>-0.3</v>
      </c>
    </row>
    <row r="16" spans="1:20" x14ac:dyDescent="0.2">
      <c r="A16" s="1">
        <v>15</v>
      </c>
      <c r="B16" s="1" t="s">
        <v>30</v>
      </c>
      <c r="C16" s="1">
        <v>2</v>
      </c>
      <c r="D16" s="1">
        <v>1</v>
      </c>
      <c r="E16" s="1" t="s">
        <v>16</v>
      </c>
      <c r="F16" s="1">
        <v>394</v>
      </c>
      <c r="G16" s="1">
        <v>1</v>
      </c>
      <c r="H16" s="1" t="s">
        <v>16</v>
      </c>
      <c r="I16" s="3">
        <v>0.76600000000000001</v>
      </c>
      <c r="J16" s="1" t="s">
        <v>16</v>
      </c>
      <c r="K16" s="1">
        <v>21.09</v>
      </c>
      <c r="L16" s="1" t="s">
        <v>16</v>
      </c>
      <c r="M16" s="3">
        <v>1</v>
      </c>
      <c r="N16" s="1" t="s">
        <v>16</v>
      </c>
      <c r="O16" s="1">
        <v>24.72</v>
      </c>
      <c r="P16" s="1">
        <v>2</v>
      </c>
      <c r="Q16" s="1">
        <v>1</v>
      </c>
      <c r="R16" s="1">
        <v>1</v>
      </c>
      <c r="S16" s="1" t="s">
        <v>16</v>
      </c>
      <c r="T16" s="1">
        <v>-0.3</v>
      </c>
    </row>
    <row r="17" spans="1:20" x14ac:dyDescent="0.2">
      <c r="A17" s="1">
        <v>16</v>
      </c>
      <c r="B17" s="1" t="s">
        <v>31</v>
      </c>
      <c r="C17" s="1">
        <v>1</v>
      </c>
      <c r="D17" s="1">
        <v>2</v>
      </c>
      <c r="E17" s="1" t="s">
        <v>16</v>
      </c>
      <c r="F17" s="1">
        <v>215</v>
      </c>
      <c r="G17" s="1">
        <v>1</v>
      </c>
      <c r="H17" s="1" t="s">
        <v>16</v>
      </c>
      <c r="I17" s="3">
        <v>0.86</v>
      </c>
      <c r="J17" s="1" t="s">
        <v>16</v>
      </c>
      <c r="K17" s="1">
        <v>19.77</v>
      </c>
      <c r="L17" s="1" t="s">
        <v>16</v>
      </c>
      <c r="M17" s="3">
        <v>1</v>
      </c>
      <c r="N17" s="1" t="s">
        <v>16</v>
      </c>
      <c r="O17" s="1">
        <v>22.38</v>
      </c>
      <c r="P17" s="1">
        <v>2</v>
      </c>
      <c r="Q17" s="1">
        <v>1</v>
      </c>
      <c r="R17" s="1">
        <v>1</v>
      </c>
      <c r="S17" s="1" t="s">
        <v>16</v>
      </c>
      <c r="T17" s="1">
        <v>-0.19</v>
      </c>
    </row>
    <row r="18" spans="1:20" x14ac:dyDescent="0.2">
      <c r="A18" s="1">
        <v>17</v>
      </c>
      <c r="B18" s="1" t="s">
        <v>32</v>
      </c>
      <c r="C18" s="1">
        <v>1</v>
      </c>
      <c r="D18" s="1">
        <v>1</v>
      </c>
      <c r="E18" s="1" t="s">
        <v>16</v>
      </c>
      <c r="F18" s="1">
        <v>249</v>
      </c>
      <c r="G18" s="1">
        <v>2</v>
      </c>
      <c r="H18" s="1" t="s">
        <v>16</v>
      </c>
      <c r="I18" s="3">
        <v>0.86299999999999999</v>
      </c>
      <c r="J18" s="1" t="s">
        <v>16</v>
      </c>
      <c r="K18" s="1">
        <v>19.100000000000001</v>
      </c>
      <c r="L18" s="1" t="s">
        <v>16</v>
      </c>
      <c r="M18" s="3">
        <v>1</v>
      </c>
      <c r="N18" s="1" t="s">
        <v>16</v>
      </c>
      <c r="O18" s="1">
        <v>23.1</v>
      </c>
      <c r="P18" s="1">
        <v>2</v>
      </c>
      <c r="Q18" s="1">
        <v>1</v>
      </c>
      <c r="R18" s="1">
        <v>1</v>
      </c>
      <c r="S18" s="1" t="s">
        <v>16</v>
      </c>
      <c r="T18" s="1">
        <v>-0.35</v>
      </c>
    </row>
    <row r="19" spans="1:20" x14ac:dyDescent="0.2">
      <c r="A19" s="1">
        <v>18</v>
      </c>
      <c r="B19" s="1" t="s">
        <v>33</v>
      </c>
      <c r="C19" s="1">
        <v>1</v>
      </c>
      <c r="D19" s="1">
        <v>3</v>
      </c>
      <c r="E19" s="1" t="s">
        <v>16</v>
      </c>
      <c r="F19" s="1">
        <v>194</v>
      </c>
      <c r="G19" s="1">
        <v>2</v>
      </c>
      <c r="H19" s="1" t="s">
        <v>16</v>
      </c>
      <c r="I19" s="3">
        <v>0.88700000000000001</v>
      </c>
      <c r="J19" s="1" t="s">
        <v>16</v>
      </c>
      <c r="K19" s="1">
        <v>21.8</v>
      </c>
      <c r="L19" s="1" t="s">
        <v>16</v>
      </c>
      <c r="M19" s="3">
        <v>1</v>
      </c>
      <c r="N19" s="1" t="s">
        <v>16</v>
      </c>
      <c r="O19" s="1">
        <v>23.99</v>
      </c>
      <c r="P19" s="1">
        <v>2</v>
      </c>
      <c r="Q19" s="1">
        <v>1</v>
      </c>
      <c r="R19" s="1">
        <v>2</v>
      </c>
      <c r="S19" s="1" t="s">
        <v>16</v>
      </c>
      <c r="T19" s="1">
        <v>-0.36</v>
      </c>
    </row>
    <row r="20" spans="1:20" x14ac:dyDescent="0.2">
      <c r="A20" s="1">
        <v>19</v>
      </c>
      <c r="B20" s="1" t="s">
        <v>34</v>
      </c>
      <c r="C20" s="1">
        <v>1</v>
      </c>
      <c r="D20" s="1">
        <v>1</v>
      </c>
      <c r="E20" s="1" t="s">
        <v>16</v>
      </c>
      <c r="F20" s="1">
        <v>92</v>
      </c>
      <c r="G20" s="1">
        <v>1</v>
      </c>
      <c r="H20" s="1" t="s">
        <v>16</v>
      </c>
      <c r="I20" s="3">
        <v>0.5</v>
      </c>
      <c r="J20" s="1" t="s">
        <v>16</v>
      </c>
      <c r="K20" s="1">
        <v>19.7</v>
      </c>
      <c r="L20" s="1" t="s">
        <v>16</v>
      </c>
      <c r="M20" s="3">
        <v>1</v>
      </c>
      <c r="N20" s="1" t="s">
        <v>16</v>
      </c>
      <c r="O20" s="1">
        <v>22.62</v>
      </c>
      <c r="P20" s="1">
        <v>2</v>
      </c>
      <c r="Q20" s="1">
        <v>1</v>
      </c>
      <c r="R20" s="1">
        <v>1</v>
      </c>
      <c r="S20" s="1" t="s">
        <v>16</v>
      </c>
      <c r="T20" s="1">
        <v>-0.25</v>
      </c>
    </row>
    <row r="21" spans="1:20" x14ac:dyDescent="0.2">
      <c r="A21" s="1">
        <v>20</v>
      </c>
      <c r="B21" s="1" t="s">
        <v>35</v>
      </c>
      <c r="C21" s="1">
        <v>1</v>
      </c>
      <c r="D21" s="1">
        <v>2</v>
      </c>
      <c r="E21" s="1">
        <v>482</v>
      </c>
      <c r="F21" s="1">
        <v>530</v>
      </c>
      <c r="G21" s="1">
        <v>2</v>
      </c>
      <c r="H21" s="1" t="s">
        <v>16</v>
      </c>
      <c r="I21" s="1" t="s">
        <v>16</v>
      </c>
      <c r="J21" s="1">
        <v>15.1</v>
      </c>
      <c r="K21" s="1">
        <v>15.1</v>
      </c>
      <c r="L21" s="1" t="s">
        <v>16</v>
      </c>
      <c r="M21" s="1" t="s">
        <v>16</v>
      </c>
      <c r="N21" s="1">
        <v>21.01</v>
      </c>
      <c r="O21" s="1">
        <v>21.01</v>
      </c>
      <c r="P21" s="1">
        <v>1</v>
      </c>
      <c r="Q21" s="1">
        <v>2</v>
      </c>
      <c r="R21" s="1">
        <v>1</v>
      </c>
      <c r="S21" s="1">
        <v>-0.15</v>
      </c>
      <c r="T21" s="1">
        <v>-0.16</v>
      </c>
    </row>
    <row r="22" spans="1:20" x14ac:dyDescent="0.2">
      <c r="A22" s="1">
        <v>21</v>
      </c>
      <c r="B22" s="1" t="s">
        <v>36</v>
      </c>
      <c r="C22" s="1">
        <v>1</v>
      </c>
      <c r="D22" s="1">
        <v>4</v>
      </c>
      <c r="E22" s="1" t="s">
        <v>16</v>
      </c>
      <c r="F22" s="1">
        <v>1152</v>
      </c>
      <c r="G22" s="1">
        <v>2</v>
      </c>
      <c r="H22" s="1" t="s">
        <v>16</v>
      </c>
      <c r="I22" s="3" t="s">
        <v>16</v>
      </c>
      <c r="J22" s="1" t="s">
        <v>16</v>
      </c>
      <c r="K22" s="1">
        <v>13.08</v>
      </c>
      <c r="L22" s="1" t="s">
        <v>16</v>
      </c>
      <c r="M22" s="1" t="s">
        <v>16</v>
      </c>
      <c r="N22" s="1" t="s">
        <v>16</v>
      </c>
      <c r="O22" s="1">
        <v>17.77</v>
      </c>
      <c r="P22" s="1">
        <v>1</v>
      </c>
      <c r="Q22" s="1">
        <v>2</v>
      </c>
      <c r="R22" s="1">
        <v>1</v>
      </c>
      <c r="S22" s="1" t="s">
        <v>16</v>
      </c>
      <c r="T22" s="1">
        <v>-0.11</v>
      </c>
    </row>
    <row r="23" spans="1:20" x14ac:dyDescent="0.2">
      <c r="A23" s="1">
        <v>22</v>
      </c>
      <c r="B23" s="1" t="s">
        <v>37</v>
      </c>
      <c r="C23" s="1">
        <v>2</v>
      </c>
      <c r="D23" s="1">
        <v>1</v>
      </c>
      <c r="E23" s="1">
        <v>120</v>
      </c>
      <c r="F23" s="1">
        <v>169</v>
      </c>
      <c r="G23" s="1">
        <v>1</v>
      </c>
      <c r="H23" s="3">
        <v>0.30399999999999999</v>
      </c>
      <c r="I23" s="3">
        <v>0.30399999999999999</v>
      </c>
      <c r="J23" s="1">
        <v>18.87</v>
      </c>
      <c r="K23" s="1">
        <v>18.87</v>
      </c>
      <c r="L23" s="3">
        <v>1</v>
      </c>
      <c r="M23" s="3">
        <v>1</v>
      </c>
      <c r="N23" s="1">
        <v>23.59</v>
      </c>
      <c r="O23" s="1">
        <v>23.59</v>
      </c>
      <c r="P23" s="1">
        <v>2</v>
      </c>
      <c r="Q23" s="1">
        <v>1</v>
      </c>
      <c r="R23" s="1">
        <v>1</v>
      </c>
      <c r="S23" s="1">
        <v>-0.24</v>
      </c>
      <c r="T23" s="1">
        <v>-0.25</v>
      </c>
    </row>
    <row r="24" spans="1:20" x14ac:dyDescent="0.2">
      <c r="A24" s="1">
        <v>23</v>
      </c>
      <c r="B24" s="1" t="s">
        <v>38</v>
      </c>
      <c r="C24" s="1">
        <v>1</v>
      </c>
      <c r="D24" s="1">
        <v>2</v>
      </c>
      <c r="E24" s="1">
        <v>44</v>
      </c>
      <c r="F24" s="1">
        <v>111</v>
      </c>
      <c r="G24" s="1">
        <v>2</v>
      </c>
      <c r="H24" s="1" t="s">
        <v>16</v>
      </c>
      <c r="I24" s="1" t="s">
        <v>16</v>
      </c>
      <c r="J24" s="1">
        <v>22.36</v>
      </c>
      <c r="K24" s="1">
        <v>21.3</v>
      </c>
      <c r="L24" s="1" t="s">
        <v>16</v>
      </c>
      <c r="M24" s="1" t="s">
        <v>16</v>
      </c>
      <c r="N24" s="1">
        <v>23.54</v>
      </c>
      <c r="O24" s="1">
        <v>22.28</v>
      </c>
      <c r="P24" s="1">
        <v>3</v>
      </c>
      <c r="Q24" s="1">
        <v>2</v>
      </c>
      <c r="R24" s="1">
        <v>1</v>
      </c>
      <c r="S24" s="1">
        <v>-0.24</v>
      </c>
      <c r="T24" s="1">
        <v>-0.39</v>
      </c>
    </row>
    <row r="25" spans="1:20" x14ac:dyDescent="0.2">
      <c r="A25" s="1">
        <v>24</v>
      </c>
      <c r="B25" s="1" t="s">
        <v>39</v>
      </c>
      <c r="C25" s="1">
        <v>1</v>
      </c>
      <c r="D25" s="1">
        <v>2</v>
      </c>
      <c r="E25" s="1" t="s">
        <v>16</v>
      </c>
      <c r="F25" s="1">
        <v>288</v>
      </c>
      <c r="G25" s="1">
        <v>1</v>
      </c>
      <c r="H25" s="1" t="s">
        <v>16</v>
      </c>
      <c r="I25" s="1" t="s">
        <v>16</v>
      </c>
      <c r="J25" s="1" t="s">
        <v>16</v>
      </c>
      <c r="K25" s="1">
        <v>30.44</v>
      </c>
      <c r="L25" s="1" t="s">
        <v>16</v>
      </c>
      <c r="M25" s="1" t="s">
        <v>16</v>
      </c>
      <c r="N25" s="1" t="s">
        <v>16</v>
      </c>
      <c r="O25" s="1">
        <v>23.93</v>
      </c>
      <c r="P25" s="1">
        <v>3</v>
      </c>
      <c r="Q25" s="1">
        <v>2</v>
      </c>
      <c r="R25" s="1">
        <v>1</v>
      </c>
      <c r="S25" s="1" t="s">
        <v>16</v>
      </c>
      <c r="T25" s="1">
        <v>-0.3</v>
      </c>
    </row>
    <row r="26" spans="1:20" x14ac:dyDescent="0.2">
      <c r="A26" s="1">
        <v>25</v>
      </c>
      <c r="B26" s="1" t="s">
        <v>40</v>
      </c>
      <c r="C26" s="1">
        <v>1</v>
      </c>
      <c r="D26" s="1">
        <v>2</v>
      </c>
      <c r="E26" s="1" t="s">
        <v>16</v>
      </c>
      <c r="F26" s="1">
        <v>387</v>
      </c>
      <c r="G26" s="1">
        <v>2</v>
      </c>
      <c r="H26" s="1" t="s">
        <v>16</v>
      </c>
      <c r="I26" s="1" t="s">
        <v>16</v>
      </c>
      <c r="J26" s="1" t="s">
        <v>16</v>
      </c>
      <c r="K26" s="1">
        <v>21.64</v>
      </c>
      <c r="L26" s="1" t="s">
        <v>16</v>
      </c>
      <c r="M26" s="1" t="s">
        <v>16</v>
      </c>
      <c r="N26" s="1" t="s">
        <v>16</v>
      </c>
      <c r="O26" s="1">
        <v>21.01</v>
      </c>
      <c r="P26" s="1">
        <v>3</v>
      </c>
      <c r="Q26" s="1">
        <v>2</v>
      </c>
      <c r="R26" s="1">
        <v>1</v>
      </c>
      <c r="S26" s="1" t="s">
        <v>16</v>
      </c>
      <c r="T26" s="1">
        <v>-0.31</v>
      </c>
    </row>
    <row r="27" spans="1:20" x14ac:dyDescent="0.2">
      <c r="A27" s="1">
        <v>26</v>
      </c>
      <c r="B27" s="1" t="s">
        <v>41</v>
      </c>
      <c r="C27" s="1">
        <v>1</v>
      </c>
      <c r="D27" s="1">
        <v>2</v>
      </c>
      <c r="E27" s="1" t="s">
        <v>16</v>
      </c>
      <c r="F27" s="1">
        <v>309</v>
      </c>
      <c r="G27" s="1">
        <v>1</v>
      </c>
      <c r="H27" s="1" t="s">
        <v>16</v>
      </c>
      <c r="I27" s="1" t="s">
        <v>16</v>
      </c>
      <c r="J27" s="1" t="s">
        <v>16</v>
      </c>
      <c r="K27" s="1">
        <v>23</v>
      </c>
      <c r="L27" s="1" t="s">
        <v>16</v>
      </c>
      <c r="M27" s="1" t="s">
        <v>16</v>
      </c>
      <c r="N27" s="1" t="s">
        <v>16</v>
      </c>
      <c r="O27" s="1">
        <v>22.28</v>
      </c>
      <c r="P27" s="1">
        <v>3</v>
      </c>
      <c r="Q27" s="1">
        <v>2</v>
      </c>
      <c r="R27" s="1">
        <v>1</v>
      </c>
      <c r="S27" s="1" t="s">
        <v>16</v>
      </c>
      <c r="T27" s="1">
        <v>-0.22</v>
      </c>
    </row>
    <row r="28" spans="1:20" x14ac:dyDescent="0.2">
      <c r="A28" s="1">
        <v>27</v>
      </c>
      <c r="B28" s="1" t="s">
        <v>42</v>
      </c>
      <c r="C28" s="1">
        <v>1</v>
      </c>
      <c r="D28" s="1">
        <v>1</v>
      </c>
      <c r="E28" s="1" t="s">
        <v>16</v>
      </c>
      <c r="F28" s="1">
        <v>92</v>
      </c>
      <c r="G28" s="1">
        <v>1</v>
      </c>
      <c r="H28" s="1" t="s">
        <v>16</v>
      </c>
      <c r="I28" s="3">
        <v>0.5</v>
      </c>
      <c r="J28" s="1" t="s">
        <v>16</v>
      </c>
      <c r="K28" s="1">
        <v>19.7</v>
      </c>
      <c r="L28" s="1" t="s">
        <v>16</v>
      </c>
      <c r="M28" s="3">
        <v>1</v>
      </c>
      <c r="N28" s="1" t="s">
        <v>16</v>
      </c>
      <c r="O28" s="1">
        <v>22.47</v>
      </c>
      <c r="P28" s="1">
        <v>2</v>
      </c>
      <c r="Q28" s="1">
        <v>1</v>
      </c>
      <c r="R28" s="1">
        <v>1</v>
      </c>
      <c r="S28" s="1" t="s">
        <v>16</v>
      </c>
      <c r="T28" s="1">
        <v>-0.24</v>
      </c>
    </row>
    <row r="29" spans="1:20" x14ac:dyDescent="0.2">
      <c r="A29" s="1">
        <v>28</v>
      </c>
      <c r="B29" s="1" t="s">
        <v>43</v>
      </c>
      <c r="C29" s="1">
        <v>1</v>
      </c>
      <c r="D29" s="1">
        <v>3</v>
      </c>
      <c r="E29" s="1">
        <v>171</v>
      </c>
      <c r="F29" s="1">
        <v>176</v>
      </c>
      <c r="G29" s="1">
        <v>2</v>
      </c>
      <c r="H29" s="1" t="s">
        <v>16</v>
      </c>
      <c r="I29" s="1" t="s">
        <v>16</v>
      </c>
      <c r="J29" s="1">
        <v>11.13</v>
      </c>
      <c r="K29" s="1">
        <v>11.01</v>
      </c>
      <c r="L29" s="1" t="s">
        <v>16</v>
      </c>
      <c r="M29" s="1" t="s">
        <v>16</v>
      </c>
      <c r="N29" s="1">
        <v>20.29</v>
      </c>
      <c r="O29" s="1">
        <v>20.309999999999999</v>
      </c>
      <c r="P29" s="1">
        <v>1</v>
      </c>
      <c r="Q29" s="1">
        <v>1</v>
      </c>
      <c r="R29" s="1">
        <v>2</v>
      </c>
      <c r="S29" s="1">
        <v>-0.105</v>
      </c>
      <c r="T29" s="1">
        <v>-0.33800000000000002</v>
      </c>
    </row>
    <row r="30" spans="1:20" x14ac:dyDescent="0.2">
      <c r="A30" s="1">
        <v>29</v>
      </c>
      <c r="B30" s="1" t="s">
        <v>44</v>
      </c>
      <c r="C30" s="1">
        <v>1</v>
      </c>
      <c r="D30" s="1">
        <v>4</v>
      </c>
      <c r="E30" s="1">
        <v>1084</v>
      </c>
      <c r="F30" s="1">
        <v>1319</v>
      </c>
      <c r="G30" s="1">
        <v>2</v>
      </c>
      <c r="H30" s="3" t="s">
        <v>16</v>
      </c>
      <c r="I30" s="3" t="s">
        <v>16</v>
      </c>
      <c r="J30" s="1">
        <v>23.52</v>
      </c>
      <c r="K30" s="1">
        <v>23.52</v>
      </c>
      <c r="L30" s="3">
        <v>1</v>
      </c>
      <c r="M30" s="3">
        <v>1</v>
      </c>
      <c r="N30" s="1">
        <v>20.75</v>
      </c>
      <c r="O30" s="1">
        <v>20.75</v>
      </c>
      <c r="P30" s="1">
        <v>2</v>
      </c>
      <c r="Q30" s="1">
        <v>1</v>
      </c>
      <c r="R30" s="1">
        <v>1</v>
      </c>
      <c r="S30" s="1">
        <v>-0.02</v>
      </c>
      <c r="T30" s="1">
        <v>-0.32</v>
      </c>
    </row>
    <row r="31" spans="1:20" x14ac:dyDescent="0.2">
      <c r="A31" s="1">
        <v>30</v>
      </c>
      <c r="B31" s="1" t="s">
        <v>45</v>
      </c>
      <c r="C31" s="1">
        <v>1</v>
      </c>
      <c r="D31" s="1">
        <v>2</v>
      </c>
      <c r="E31" s="1" t="s">
        <v>16</v>
      </c>
      <c r="F31" s="1">
        <v>490</v>
      </c>
      <c r="G31" s="1">
        <v>1</v>
      </c>
      <c r="H31" s="1" t="s">
        <v>16</v>
      </c>
      <c r="I31" s="1" t="s">
        <v>16</v>
      </c>
      <c r="J31" s="1" t="s">
        <v>16</v>
      </c>
      <c r="K31" s="1">
        <v>24.76</v>
      </c>
      <c r="L31" s="1" t="s">
        <v>16</v>
      </c>
      <c r="M31" s="1" t="s">
        <v>16</v>
      </c>
      <c r="N31" s="1" t="s">
        <v>16</v>
      </c>
      <c r="O31" s="1">
        <v>22.29</v>
      </c>
      <c r="P31" s="1">
        <v>3</v>
      </c>
      <c r="Q31" s="1">
        <v>2</v>
      </c>
      <c r="R31" s="1">
        <v>1</v>
      </c>
      <c r="S31" s="1" t="s">
        <v>16</v>
      </c>
      <c r="T31" s="1">
        <v>-0.37</v>
      </c>
    </row>
    <row r="32" spans="1:20" x14ac:dyDescent="0.2">
      <c r="A32" s="1">
        <v>31</v>
      </c>
      <c r="B32" s="1" t="s">
        <v>46</v>
      </c>
      <c r="C32" s="1">
        <v>1</v>
      </c>
      <c r="D32" s="1">
        <v>2</v>
      </c>
      <c r="E32" s="1" t="s">
        <v>16</v>
      </c>
      <c r="F32" s="1">
        <v>253</v>
      </c>
      <c r="G32" s="1">
        <v>1</v>
      </c>
      <c r="H32" s="1" t="s">
        <v>16</v>
      </c>
      <c r="I32" s="1" t="s">
        <v>16</v>
      </c>
      <c r="J32" s="1" t="s">
        <v>16</v>
      </c>
      <c r="K32" s="1">
        <v>25</v>
      </c>
      <c r="L32" s="1" t="s">
        <v>16</v>
      </c>
      <c r="M32" s="1" t="s">
        <v>16</v>
      </c>
      <c r="N32" s="1" t="s">
        <v>16</v>
      </c>
      <c r="O32" s="1">
        <v>21.76</v>
      </c>
      <c r="P32" s="1">
        <v>3</v>
      </c>
      <c r="Q32" s="1">
        <v>2</v>
      </c>
      <c r="R32" s="1">
        <v>1</v>
      </c>
      <c r="S32" s="1" t="s">
        <v>16</v>
      </c>
      <c r="T32" s="1">
        <v>-0.36</v>
      </c>
    </row>
    <row r="33" spans="1:20" x14ac:dyDescent="0.2">
      <c r="A33" s="1">
        <v>32</v>
      </c>
      <c r="B33" s="1" t="s">
        <v>47</v>
      </c>
      <c r="C33" s="1">
        <v>1</v>
      </c>
      <c r="D33" s="1">
        <v>1</v>
      </c>
      <c r="E33" s="1" t="s">
        <v>16</v>
      </c>
      <c r="F33" s="1">
        <v>903</v>
      </c>
      <c r="G33" s="1">
        <v>1</v>
      </c>
      <c r="H33" s="1" t="s">
        <v>16</v>
      </c>
      <c r="I33" s="3">
        <v>0.86299999999999999</v>
      </c>
      <c r="J33" s="1" t="s">
        <v>16</v>
      </c>
      <c r="K33" s="1">
        <v>27.78</v>
      </c>
      <c r="L33" s="1" t="s">
        <v>16</v>
      </c>
      <c r="M33" s="3">
        <v>0.67100000000000004</v>
      </c>
      <c r="N33" s="1" t="s">
        <v>16</v>
      </c>
      <c r="O33" s="1">
        <v>26.24</v>
      </c>
      <c r="P33" s="1">
        <v>3</v>
      </c>
      <c r="Q33" s="1">
        <v>1</v>
      </c>
      <c r="R33" s="1">
        <v>1</v>
      </c>
      <c r="S33" s="1" t="s">
        <v>16</v>
      </c>
      <c r="T33" s="1">
        <v>-0.25600000000000001</v>
      </c>
    </row>
    <row r="34" spans="1:20" x14ac:dyDescent="0.2">
      <c r="A34" s="1">
        <v>33</v>
      </c>
      <c r="B34" s="1" t="s">
        <v>48</v>
      </c>
      <c r="C34" s="1">
        <v>1</v>
      </c>
      <c r="D34" s="1">
        <v>2</v>
      </c>
      <c r="E34" s="1">
        <v>165</v>
      </c>
      <c r="F34" s="1">
        <v>171</v>
      </c>
      <c r="G34" s="1">
        <v>2</v>
      </c>
      <c r="H34" s="4">
        <v>1</v>
      </c>
      <c r="I34" s="4">
        <v>1</v>
      </c>
      <c r="J34" s="1">
        <v>34.950000000000003</v>
      </c>
      <c r="K34" s="1">
        <v>34.950000000000003</v>
      </c>
      <c r="L34" s="1" t="s">
        <v>16</v>
      </c>
      <c r="M34" s="1" t="s">
        <v>16</v>
      </c>
      <c r="N34" s="1">
        <v>25.41</v>
      </c>
      <c r="O34" s="1">
        <v>22.69</v>
      </c>
      <c r="P34" s="1">
        <v>3</v>
      </c>
      <c r="Q34" s="1">
        <v>2</v>
      </c>
      <c r="R34" s="1">
        <v>1</v>
      </c>
      <c r="S34" s="1">
        <v>-0.32</v>
      </c>
      <c r="T34" s="1">
        <v>-0.14000000000000001</v>
      </c>
    </row>
    <row r="35" spans="1:20" x14ac:dyDescent="0.2">
      <c r="A35" s="1">
        <v>34</v>
      </c>
      <c r="B35" s="1" t="s">
        <v>49</v>
      </c>
      <c r="C35" s="1">
        <v>1</v>
      </c>
      <c r="D35" s="1">
        <v>1</v>
      </c>
      <c r="E35" s="1" t="s">
        <v>16</v>
      </c>
      <c r="F35" s="1">
        <v>215</v>
      </c>
      <c r="G35" s="1">
        <v>1</v>
      </c>
      <c r="H35" s="1" t="s">
        <v>16</v>
      </c>
      <c r="I35" s="3">
        <v>0.88500000000000001</v>
      </c>
      <c r="J35" s="1" t="s">
        <v>16</v>
      </c>
      <c r="K35" s="1">
        <v>38.08</v>
      </c>
      <c r="L35" s="1" t="s">
        <v>16</v>
      </c>
      <c r="M35" s="3">
        <v>0.88</v>
      </c>
      <c r="N35" s="1" t="s">
        <v>16</v>
      </c>
      <c r="O35" s="1">
        <v>26.11</v>
      </c>
      <c r="P35" s="1">
        <v>3</v>
      </c>
      <c r="Q35" s="1">
        <v>1</v>
      </c>
      <c r="R35" s="1">
        <v>1</v>
      </c>
      <c r="S35" s="1" t="s">
        <v>16</v>
      </c>
      <c r="T35" s="1">
        <v>-0.39</v>
      </c>
    </row>
    <row r="36" spans="1:20" x14ac:dyDescent="0.2">
      <c r="A36" s="1">
        <v>35</v>
      </c>
      <c r="B36" s="1" t="s">
        <v>50</v>
      </c>
      <c r="C36" s="1">
        <v>1</v>
      </c>
      <c r="D36" s="1">
        <v>1</v>
      </c>
      <c r="E36" s="1" t="s">
        <v>16</v>
      </c>
      <c r="F36" s="1">
        <v>247</v>
      </c>
      <c r="G36" s="1">
        <v>1</v>
      </c>
      <c r="H36" s="1" t="s">
        <v>16</v>
      </c>
      <c r="I36" s="3">
        <v>0.66800000000000004</v>
      </c>
      <c r="J36" s="1" t="s">
        <v>16</v>
      </c>
      <c r="K36" s="1">
        <v>29.76</v>
      </c>
      <c r="L36" s="1" t="s">
        <v>16</v>
      </c>
      <c r="M36" s="3">
        <v>0.83</v>
      </c>
      <c r="N36" s="1" t="s">
        <v>16</v>
      </c>
      <c r="O36" s="1">
        <v>30.53</v>
      </c>
      <c r="P36" s="1">
        <v>3</v>
      </c>
      <c r="Q36" s="1">
        <v>1</v>
      </c>
      <c r="R36" s="1">
        <v>1</v>
      </c>
      <c r="S36" s="1" t="s">
        <v>16</v>
      </c>
      <c r="T36" s="1">
        <v>-0.22</v>
      </c>
    </row>
    <row r="37" spans="1:20" x14ac:dyDescent="0.2">
      <c r="A37" s="1">
        <v>37</v>
      </c>
      <c r="B37" s="1" t="s">
        <v>51</v>
      </c>
      <c r="C37" s="1">
        <v>1</v>
      </c>
      <c r="D37" s="1">
        <v>4</v>
      </c>
      <c r="E37" s="1" t="s">
        <v>16</v>
      </c>
      <c r="F37" s="1">
        <v>591</v>
      </c>
      <c r="G37" s="1">
        <v>2</v>
      </c>
      <c r="H37" s="1" t="s">
        <v>16</v>
      </c>
      <c r="I37" s="3" t="s">
        <v>16</v>
      </c>
      <c r="J37" s="1" t="s">
        <v>16</v>
      </c>
      <c r="K37" s="1">
        <v>43.06</v>
      </c>
      <c r="L37" s="1" t="s">
        <v>16</v>
      </c>
      <c r="M37" s="1" t="s">
        <v>16</v>
      </c>
      <c r="N37" s="1" t="s">
        <v>16</v>
      </c>
      <c r="O37" s="1">
        <v>22.17</v>
      </c>
      <c r="P37" s="1">
        <v>3</v>
      </c>
      <c r="Q37" s="1">
        <v>1</v>
      </c>
      <c r="R37" s="1">
        <v>1</v>
      </c>
      <c r="S37" s="1" t="s">
        <v>16</v>
      </c>
      <c r="T37" s="1">
        <v>-0.24</v>
      </c>
    </row>
    <row r="38" spans="1:20" x14ac:dyDescent="0.2">
      <c r="A38" s="1">
        <v>38</v>
      </c>
      <c r="B38" s="1" t="s">
        <v>52</v>
      </c>
      <c r="C38" s="1">
        <v>1</v>
      </c>
      <c r="D38" s="1">
        <v>2</v>
      </c>
      <c r="E38" s="1">
        <v>144</v>
      </c>
      <c r="F38" s="1">
        <v>156</v>
      </c>
      <c r="G38" s="1">
        <v>2</v>
      </c>
      <c r="H38" s="1" t="s">
        <v>16</v>
      </c>
      <c r="I38" s="1" t="s">
        <v>16</v>
      </c>
      <c r="J38" s="1">
        <v>33.31</v>
      </c>
      <c r="K38" s="1">
        <v>31.66</v>
      </c>
      <c r="L38" s="3">
        <v>0.14299999999999999</v>
      </c>
      <c r="M38" s="3">
        <v>0.14299999999999999</v>
      </c>
      <c r="N38" s="1">
        <v>24.01</v>
      </c>
      <c r="O38" s="1">
        <v>21.94</v>
      </c>
      <c r="P38" s="1">
        <v>3</v>
      </c>
      <c r="Q38" s="1">
        <v>1</v>
      </c>
      <c r="R38" s="1">
        <v>1</v>
      </c>
      <c r="S38" s="1">
        <v>-0.03</v>
      </c>
      <c r="T38" s="1">
        <v>-0.28000000000000003</v>
      </c>
    </row>
    <row r="39" spans="1:20" x14ac:dyDescent="0.2">
      <c r="A39" s="1">
        <v>39</v>
      </c>
      <c r="B39" s="1" t="s">
        <v>53</v>
      </c>
      <c r="C39" s="1">
        <v>1</v>
      </c>
      <c r="D39" s="1">
        <v>2</v>
      </c>
      <c r="E39" s="1" t="s">
        <v>16</v>
      </c>
      <c r="F39" s="1">
        <v>322</v>
      </c>
      <c r="G39" s="1">
        <v>2</v>
      </c>
      <c r="H39" s="1" t="s">
        <v>16</v>
      </c>
      <c r="I39" s="3">
        <v>0.63700000000000001</v>
      </c>
      <c r="J39" s="1" t="s">
        <v>16</v>
      </c>
      <c r="K39" s="1">
        <v>24.72</v>
      </c>
      <c r="L39" s="1" t="s">
        <v>16</v>
      </c>
      <c r="M39" s="3">
        <v>1</v>
      </c>
      <c r="N39" s="1" t="s">
        <v>16</v>
      </c>
      <c r="O39" s="1">
        <v>21.67</v>
      </c>
      <c r="P39" s="1">
        <v>2</v>
      </c>
      <c r="Q39" s="1">
        <v>1</v>
      </c>
      <c r="R39" s="1">
        <v>1</v>
      </c>
      <c r="S39" s="1" t="s">
        <v>16</v>
      </c>
      <c r="T39" s="1">
        <v>0.27</v>
      </c>
    </row>
    <row r="40" spans="1:20" x14ac:dyDescent="0.2">
      <c r="A40" s="1">
        <v>40</v>
      </c>
      <c r="B40" s="1" t="s">
        <v>54</v>
      </c>
      <c r="C40" s="1">
        <v>1</v>
      </c>
      <c r="D40" s="1">
        <v>2</v>
      </c>
      <c r="E40" s="1" t="s">
        <v>16</v>
      </c>
      <c r="F40" s="1">
        <v>135</v>
      </c>
      <c r="G40" s="1">
        <v>2</v>
      </c>
      <c r="H40" s="1" t="s">
        <v>16</v>
      </c>
      <c r="I40" s="3">
        <v>0.45200000000000001</v>
      </c>
      <c r="J40" s="1" t="s">
        <v>16</v>
      </c>
      <c r="K40" s="1">
        <v>23.74</v>
      </c>
      <c r="L40" s="1" t="s">
        <v>16</v>
      </c>
      <c r="M40" s="3">
        <v>1</v>
      </c>
      <c r="N40" s="1" t="s">
        <v>16</v>
      </c>
      <c r="O40" s="1">
        <v>22.15</v>
      </c>
      <c r="P40" s="1">
        <v>2</v>
      </c>
      <c r="Q40" s="1">
        <v>1</v>
      </c>
      <c r="R40" s="1">
        <v>1</v>
      </c>
      <c r="S40" s="1" t="s">
        <v>16</v>
      </c>
      <c r="T40" s="1">
        <v>-0.19</v>
      </c>
    </row>
    <row r="41" spans="1:20" x14ac:dyDescent="0.2">
      <c r="A41" s="1">
        <v>41</v>
      </c>
      <c r="B41" s="1" t="s">
        <v>55</v>
      </c>
      <c r="C41" s="1">
        <v>1</v>
      </c>
      <c r="D41" s="1">
        <v>2</v>
      </c>
      <c r="E41" s="1" t="s">
        <v>16</v>
      </c>
      <c r="F41" s="1">
        <v>108</v>
      </c>
      <c r="G41" s="1">
        <v>2</v>
      </c>
      <c r="H41" s="1" t="s">
        <v>16</v>
      </c>
      <c r="I41" s="3">
        <v>0.72299999999999998</v>
      </c>
      <c r="J41" s="1" t="s">
        <v>16</v>
      </c>
      <c r="K41" s="1">
        <v>23.94</v>
      </c>
      <c r="L41" s="1" t="s">
        <v>16</v>
      </c>
      <c r="M41" s="3">
        <v>1</v>
      </c>
      <c r="N41" s="1" t="s">
        <v>16</v>
      </c>
      <c r="O41" s="1">
        <v>22.19</v>
      </c>
      <c r="P41" s="1">
        <v>2</v>
      </c>
      <c r="Q41" s="1">
        <v>1</v>
      </c>
      <c r="R41" s="1">
        <v>1</v>
      </c>
      <c r="S41" s="1" t="s">
        <v>16</v>
      </c>
      <c r="T41" s="1">
        <v>-0.46</v>
      </c>
    </row>
    <row r="42" spans="1:20" x14ac:dyDescent="0.2">
      <c r="A42" s="1">
        <v>42</v>
      </c>
      <c r="B42" s="1" t="s">
        <v>56</v>
      </c>
      <c r="C42" s="1">
        <v>1</v>
      </c>
      <c r="D42" s="1">
        <v>3</v>
      </c>
      <c r="E42" s="1">
        <v>116</v>
      </c>
      <c r="F42" s="1">
        <v>195</v>
      </c>
      <c r="G42" s="1">
        <v>2</v>
      </c>
      <c r="H42" s="3">
        <v>0.79400000000000004</v>
      </c>
      <c r="I42" s="3">
        <v>0.79400000000000004</v>
      </c>
      <c r="J42" s="1">
        <v>29.31</v>
      </c>
      <c r="K42" s="1">
        <v>29.31</v>
      </c>
      <c r="L42" s="3">
        <v>1</v>
      </c>
      <c r="M42" s="3">
        <v>1</v>
      </c>
      <c r="N42" s="1">
        <v>23.27</v>
      </c>
      <c r="O42" s="1">
        <v>23.27</v>
      </c>
      <c r="P42" s="1">
        <v>2</v>
      </c>
      <c r="Q42" s="1">
        <v>1</v>
      </c>
      <c r="R42" s="1">
        <v>1</v>
      </c>
      <c r="S42" s="1">
        <v>-0.26</v>
      </c>
      <c r="T42" s="1">
        <v>-0.19</v>
      </c>
    </row>
    <row r="43" spans="1:20" x14ac:dyDescent="0.2">
      <c r="A43" s="1">
        <v>43</v>
      </c>
      <c r="B43" s="1" t="s">
        <v>57</v>
      </c>
      <c r="C43" s="1">
        <v>1</v>
      </c>
      <c r="D43" s="1">
        <v>4</v>
      </c>
      <c r="E43" s="1">
        <v>278</v>
      </c>
      <c r="F43" s="1">
        <v>262</v>
      </c>
      <c r="G43" s="1">
        <v>2</v>
      </c>
      <c r="H43" s="3" t="s">
        <v>16</v>
      </c>
      <c r="I43" s="3" t="s">
        <v>16</v>
      </c>
      <c r="J43" s="1">
        <v>43.19</v>
      </c>
      <c r="K43" s="1">
        <v>43.19</v>
      </c>
      <c r="L43" s="1" t="s">
        <v>16</v>
      </c>
      <c r="M43" s="1" t="s">
        <v>16</v>
      </c>
      <c r="N43" s="1">
        <v>22.08</v>
      </c>
      <c r="O43" s="1">
        <v>22.08</v>
      </c>
      <c r="P43" s="1">
        <v>3</v>
      </c>
      <c r="Q43" s="1">
        <v>1</v>
      </c>
      <c r="R43" s="1">
        <v>1</v>
      </c>
      <c r="S43" s="1">
        <v>-0.22</v>
      </c>
      <c r="T43" s="1">
        <v>-0.3</v>
      </c>
    </row>
    <row r="44" spans="1:20" x14ac:dyDescent="0.2">
      <c r="A44" s="1">
        <v>44</v>
      </c>
      <c r="B44" s="1" t="s">
        <v>58</v>
      </c>
      <c r="C44" s="1">
        <v>1</v>
      </c>
      <c r="D44" s="1">
        <v>5</v>
      </c>
      <c r="E44" s="1" t="s">
        <v>16</v>
      </c>
      <c r="F44" s="1">
        <f>140+138</f>
        <v>278</v>
      </c>
      <c r="G44" s="1">
        <v>2</v>
      </c>
      <c r="H44" s="1" t="s">
        <v>16</v>
      </c>
      <c r="I44" s="1" t="s">
        <v>16</v>
      </c>
      <c r="J44" s="1" t="s">
        <v>16</v>
      </c>
      <c r="K44" s="1">
        <v>25.98</v>
      </c>
      <c r="L44" s="1" t="s">
        <v>16</v>
      </c>
      <c r="M44" s="1" t="s">
        <v>16</v>
      </c>
      <c r="N44" s="1" t="s">
        <v>16</v>
      </c>
      <c r="O44" s="1">
        <v>24.85</v>
      </c>
      <c r="P44" s="1">
        <v>3</v>
      </c>
      <c r="Q44" s="1">
        <v>1</v>
      </c>
      <c r="R44" s="1">
        <v>1</v>
      </c>
      <c r="S44" s="1" t="s">
        <v>16</v>
      </c>
      <c r="T44" s="1">
        <f>(0.01-0.11)/2</f>
        <v>-0.05</v>
      </c>
    </row>
    <row r="45" spans="1:20" x14ac:dyDescent="0.2">
      <c r="A45" s="1">
        <v>45</v>
      </c>
      <c r="B45" s="1" t="s">
        <v>59</v>
      </c>
      <c r="C45" s="1">
        <v>1</v>
      </c>
      <c r="D45" s="1">
        <v>1</v>
      </c>
      <c r="E45" s="1" t="s">
        <v>16</v>
      </c>
      <c r="F45" s="1">
        <f>8925+742</f>
        <v>9667</v>
      </c>
      <c r="G45" s="1">
        <v>1</v>
      </c>
      <c r="H45" s="1" t="s">
        <v>16</v>
      </c>
      <c r="I45" s="1" t="s">
        <v>16</v>
      </c>
      <c r="J45" s="1" t="s">
        <v>16</v>
      </c>
      <c r="K45" s="1">
        <f>(30.22+27.7)/2</f>
        <v>28.96</v>
      </c>
      <c r="L45" s="1" t="s">
        <v>16</v>
      </c>
      <c r="M45" s="3">
        <v>0.68799999999999994</v>
      </c>
      <c r="N45" s="1" t="s">
        <v>16</v>
      </c>
      <c r="O45" s="1">
        <v>25.84</v>
      </c>
      <c r="P45" s="1">
        <v>3</v>
      </c>
      <c r="Q45" s="1">
        <v>1</v>
      </c>
      <c r="R45" s="1">
        <v>1</v>
      </c>
      <c r="S45" s="1" t="s">
        <v>16</v>
      </c>
      <c r="T45" s="1">
        <v>-0.2</v>
      </c>
    </row>
    <row r="46" spans="1:20" x14ac:dyDescent="0.2">
      <c r="A46" s="1">
        <v>46</v>
      </c>
      <c r="B46" s="1" t="s">
        <v>60</v>
      </c>
      <c r="C46" s="1">
        <v>1</v>
      </c>
      <c r="D46" s="1">
        <v>4</v>
      </c>
      <c r="E46" s="1">
        <v>417</v>
      </c>
      <c r="F46" s="1">
        <v>457</v>
      </c>
      <c r="G46" s="1">
        <v>2</v>
      </c>
      <c r="H46" s="3" t="s">
        <v>16</v>
      </c>
      <c r="I46" s="3" t="s">
        <v>16</v>
      </c>
      <c r="J46" s="1">
        <v>19.97</v>
      </c>
      <c r="K46" s="1">
        <v>19.97</v>
      </c>
      <c r="L46" s="3">
        <v>1</v>
      </c>
      <c r="M46" s="3">
        <v>1</v>
      </c>
      <c r="N46" s="1">
        <v>20.350000000000001</v>
      </c>
      <c r="O46" s="1">
        <v>20.350000000000001</v>
      </c>
      <c r="P46" s="1">
        <v>2</v>
      </c>
      <c r="Q46" s="1">
        <v>2</v>
      </c>
      <c r="R46" s="1">
        <v>1</v>
      </c>
      <c r="S46" s="1">
        <v>-0.03</v>
      </c>
      <c r="T46" s="1">
        <v>-0.25</v>
      </c>
    </row>
    <row r="47" spans="1:20" x14ac:dyDescent="0.2">
      <c r="A47" s="1">
        <v>47</v>
      </c>
      <c r="B47" s="1" t="s">
        <v>61</v>
      </c>
      <c r="C47" s="1">
        <v>1</v>
      </c>
      <c r="D47" s="1">
        <v>1</v>
      </c>
      <c r="E47" s="1">
        <v>200</v>
      </c>
      <c r="F47" s="1">
        <v>199</v>
      </c>
      <c r="G47" s="1">
        <v>1</v>
      </c>
      <c r="H47" s="3">
        <v>0.81699999999999995</v>
      </c>
      <c r="I47" s="3">
        <v>0.81699999999999995</v>
      </c>
      <c r="J47" s="1">
        <v>34.119999999999997</v>
      </c>
      <c r="K47" s="1">
        <v>34.99</v>
      </c>
      <c r="L47" s="3">
        <v>0.66300000000000003</v>
      </c>
      <c r="M47" s="3">
        <v>0.66300000000000003</v>
      </c>
      <c r="N47" s="1">
        <v>25.58</v>
      </c>
      <c r="O47" s="1">
        <v>26.66</v>
      </c>
      <c r="P47" s="1">
        <v>3</v>
      </c>
      <c r="Q47" s="1">
        <v>2</v>
      </c>
      <c r="R47" s="1">
        <v>1</v>
      </c>
      <c r="S47" s="1">
        <v>-0.3</v>
      </c>
      <c r="T47" s="1">
        <v>-0.28000000000000003</v>
      </c>
    </row>
    <row r="48" spans="1:20" x14ac:dyDescent="0.2">
      <c r="A48" s="1">
        <v>48</v>
      </c>
      <c r="B48" s="1" t="s">
        <v>62</v>
      </c>
      <c r="C48" s="1">
        <v>1</v>
      </c>
      <c r="D48" s="1">
        <v>4</v>
      </c>
      <c r="E48" s="1">
        <v>154</v>
      </c>
      <c r="F48" s="1">
        <v>191</v>
      </c>
      <c r="G48" s="1">
        <v>2</v>
      </c>
      <c r="H48" s="1" t="s">
        <v>16</v>
      </c>
      <c r="I48" s="1" t="s">
        <v>16</v>
      </c>
      <c r="J48" s="1" t="s">
        <v>16</v>
      </c>
      <c r="K48" s="1">
        <v>22.41</v>
      </c>
      <c r="L48" s="1" t="s">
        <v>16</v>
      </c>
      <c r="M48" s="3">
        <v>1</v>
      </c>
      <c r="N48" s="1" t="s">
        <v>16</v>
      </c>
      <c r="O48" s="1">
        <v>21</v>
      </c>
      <c r="P48" s="1">
        <v>2</v>
      </c>
      <c r="Q48" s="1">
        <v>2</v>
      </c>
      <c r="R48" s="1">
        <v>1</v>
      </c>
      <c r="S48" s="1">
        <v>-0.13</v>
      </c>
      <c r="T48" s="1">
        <v>-0.19</v>
      </c>
    </row>
    <row r="49" spans="1:20" x14ac:dyDescent="0.2">
      <c r="A49" s="1">
        <v>49</v>
      </c>
      <c r="B49" s="1" t="s">
        <v>63</v>
      </c>
      <c r="C49" s="1">
        <v>1</v>
      </c>
      <c r="D49" s="1">
        <v>1</v>
      </c>
      <c r="E49" s="1">
        <v>164</v>
      </c>
      <c r="F49" s="1">
        <v>151</v>
      </c>
      <c r="G49" s="1">
        <v>1</v>
      </c>
      <c r="H49" s="3">
        <v>0.88900000000000001</v>
      </c>
      <c r="I49" s="3">
        <v>0.88900000000000001</v>
      </c>
      <c r="J49" s="1">
        <v>30.97</v>
      </c>
      <c r="K49" s="1">
        <v>34.26</v>
      </c>
      <c r="L49" s="3">
        <v>0.63100000000000001</v>
      </c>
      <c r="M49" s="3">
        <v>0.63100000000000001</v>
      </c>
      <c r="N49" s="1">
        <v>25.82</v>
      </c>
      <c r="O49" s="1">
        <v>25.88</v>
      </c>
      <c r="P49" s="1">
        <v>3</v>
      </c>
      <c r="Q49" s="1">
        <v>2</v>
      </c>
      <c r="R49" s="1">
        <v>1</v>
      </c>
      <c r="S49" s="1">
        <v>-0.22</v>
      </c>
      <c r="T49" s="1">
        <v>-0.17</v>
      </c>
    </row>
    <row r="50" spans="1:20" x14ac:dyDescent="0.2">
      <c r="A50" s="1">
        <v>50</v>
      </c>
      <c r="B50" s="1" t="s">
        <v>64</v>
      </c>
      <c r="C50" s="1">
        <v>1</v>
      </c>
      <c r="D50" s="1">
        <v>2</v>
      </c>
      <c r="E50" s="1">
        <v>241</v>
      </c>
      <c r="F50" s="1">
        <v>212</v>
      </c>
      <c r="G50" s="1">
        <v>2</v>
      </c>
      <c r="H50" s="1" t="s">
        <v>16</v>
      </c>
      <c r="I50" s="1" t="s">
        <v>16</v>
      </c>
      <c r="J50" s="1">
        <v>23.57</v>
      </c>
      <c r="K50" s="1">
        <v>23.57</v>
      </c>
      <c r="L50" s="3">
        <v>1</v>
      </c>
      <c r="M50" s="3">
        <v>1</v>
      </c>
      <c r="N50" s="1">
        <v>22.95</v>
      </c>
      <c r="O50" s="1">
        <v>21.3</v>
      </c>
      <c r="P50" s="1">
        <v>2</v>
      </c>
      <c r="Q50" s="1">
        <v>2</v>
      </c>
      <c r="R50" s="1">
        <v>1</v>
      </c>
      <c r="S50" s="1">
        <v>-0.28000000000000003</v>
      </c>
      <c r="T50" s="1">
        <v>-0.3</v>
      </c>
    </row>
    <row r="51" spans="1:20" x14ac:dyDescent="0.2">
      <c r="A51" s="1">
        <v>51</v>
      </c>
      <c r="B51" s="1" t="s">
        <v>65</v>
      </c>
      <c r="C51" s="1">
        <v>1</v>
      </c>
      <c r="D51" s="1">
        <v>2</v>
      </c>
      <c r="E51" s="1">
        <v>432</v>
      </c>
      <c r="F51" s="1">
        <v>716</v>
      </c>
      <c r="G51" s="1">
        <v>1</v>
      </c>
      <c r="H51" s="3">
        <v>0.88</v>
      </c>
      <c r="I51" s="3">
        <v>0.88</v>
      </c>
      <c r="J51" s="1">
        <v>33.07</v>
      </c>
      <c r="K51" s="1">
        <v>35.950000000000003</v>
      </c>
      <c r="L51" s="3">
        <v>0.60199999999999998</v>
      </c>
      <c r="M51" s="3">
        <v>0.60199999999999998</v>
      </c>
      <c r="N51" s="1">
        <v>25.2</v>
      </c>
      <c r="O51" s="1">
        <v>26.39</v>
      </c>
      <c r="P51" s="1">
        <v>3</v>
      </c>
      <c r="Q51" s="1">
        <v>2</v>
      </c>
      <c r="R51" s="1">
        <v>1</v>
      </c>
      <c r="S51" s="1">
        <v>-0.23</v>
      </c>
      <c r="T51" s="1">
        <v>-0.35</v>
      </c>
    </row>
    <row r="52" spans="1:20" x14ac:dyDescent="0.2">
      <c r="A52" s="1">
        <v>52</v>
      </c>
      <c r="B52" s="1" t="s">
        <v>66</v>
      </c>
      <c r="C52" s="1">
        <v>1</v>
      </c>
      <c r="D52" s="1">
        <v>4</v>
      </c>
      <c r="E52" s="1">
        <v>391</v>
      </c>
      <c r="F52" s="1">
        <v>390</v>
      </c>
      <c r="G52" s="1">
        <v>1</v>
      </c>
      <c r="H52" s="3" t="s">
        <v>16</v>
      </c>
      <c r="I52" s="3" t="s">
        <v>16</v>
      </c>
      <c r="J52" s="1">
        <v>27.27</v>
      </c>
      <c r="K52" s="1">
        <v>27.27</v>
      </c>
      <c r="L52" s="3">
        <v>0.72599999999999998</v>
      </c>
      <c r="M52" s="3">
        <v>0.72599999999999998</v>
      </c>
      <c r="N52" s="1">
        <v>23.52</v>
      </c>
      <c r="O52" s="1">
        <v>23.52</v>
      </c>
      <c r="P52" s="1">
        <v>3</v>
      </c>
      <c r="Q52" s="1">
        <v>2</v>
      </c>
      <c r="R52" s="1">
        <v>1</v>
      </c>
      <c r="S52" s="1">
        <v>-0.01</v>
      </c>
      <c r="T52" s="1">
        <v>-0.16</v>
      </c>
    </row>
    <row r="53" spans="1:20" x14ac:dyDescent="0.2">
      <c r="A53" s="1">
        <v>53</v>
      </c>
      <c r="B53" s="1" t="s">
        <v>67</v>
      </c>
      <c r="C53" s="1">
        <v>2</v>
      </c>
      <c r="D53" s="1">
        <v>1</v>
      </c>
      <c r="E53" s="1" t="s">
        <v>16</v>
      </c>
      <c r="F53" s="1">
        <v>1122</v>
      </c>
      <c r="G53" s="1">
        <v>1</v>
      </c>
      <c r="H53" s="1" t="s">
        <v>16</v>
      </c>
      <c r="I53" s="3">
        <v>0.95809999999999995</v>
      </c>
      <c r="J53" s="1" t="s">
        <v>16</v>
      </c>
      <c r="K53" s="1">
        <v>48</v>
      </c>
      <c r="L53" s="1" t="s">
        <v>16</v>
      </c>
      <c r="M53" s="3">
        <v>0.96</v>
      </c>
      <c r="N53" s="1" t="s">
        <v>16</v>
      </c>
      <c r="O53" s="1">
        <v>28.32</v>
      </c>
      <c r="P53" s="1">
        <v>3</v>
      </c>
      <c r="Q53" s="1">
        <v>1</v>
      </c>
      <c r="R53" s="1">
        <v>1</v>
      </c>
      <c r="S53" s="1" t="s">
        <v>16</v>
      </c>
      <c r="T53" s="1">
        <v>-0.44</v>
      </c>
    </row>
    <row r="54" spans="1:20" x14ac:dyDescent="0.2">
      <c r="A54" s="1">
        <v>54</v>
      </c>
      <c r="B54" s="1" t="s">
        <v>68</v>
      </c>
      <c r="C54" s="1">
        <v>1</v>
      </c>
      <c r="D54" s="1">
        <v>2</v>
      </c>
      <c r="E54" s="1">
        <v>199</v>
      </c>
      <c r="F54" s="1">
        <v>446</v>
      </c>
      <c r="G54" s="1">
        <v>1</v>
      </c>
      <c r="H54" s="3">
        <v>0.92400000000000004</v>
      </c>
      <c r="I54" s="3">
        <v>0.92400000000000004</v>
      </c>
      <c r="J54" s="1">
        <v>37.76</v>
      </c>
      <c r="K54" s="1">
        <v>39.47</v>
      </c>
      <c r="L54" s="3">
        <v>0.52300000000000002</v>
      </c>
      <c r="M54" s="3">
        <v>0.52300000000000002</v>
      </c>
      <c r="N54" s="1">
        <v>27.76</v>
      </c>
      <c r="O54" s="1">
        <v>26.1</v>
      </c>
      <c r="P54" s="1">
        <v>3</v>
      </c>
      <c r="Q54" s="1">
        <v>2</v>
      </c>
      <c r="R54" s="1">
        <v>1</v>
      </c>
      <c r="S54" s="1">
        <v>-0.24</v>
      </c>
      <c r="T54" s="1">
        <v>-0.32</v>
      </c>
    </row>
    <row r="55" spans="1:20" x14ac:dyDescent="0.2">
      <c r="A55" s="1">
        <v>55</v>
      </c>
      <c r="B55" s="1" t="s">
        <v>69</v>
      </c>
      <c r="C55" s="1">
        <v>1</v>
      </c>
      <c r="D55" s="1">
        <v>1</v>
      </c>
      <c r="E55" s="1">
        <v>308</v>
      </c>
      <c r="F55" s="1">
        <v>367</v>
      </c>
      <c r="G55" s="1">
        <v>1</v>
      </c>
      <c r="H55" s="3">
        <v>0.79100000000000004</v>
      </c>
      <c r="I55" s="3">
        <v>0.79100000000000004</v>
      </c>
      <c r="J55" s="1">
        <v>20.34</v>
      </c>
      <c r="K55" s="1">
        <v>20.34</v>
      </c>
      <c r="L55" s="3">
        <v>1</v>
      </c>
      <c r="M55" s="3">
        <v>1</v>
      </c>
      <c r="N55" s="1">
        <v>25.02</v>
      </c>
      <c r="O55" s="1">
        <v>24.21</v>
      </c>
      <c r="P55" s="1">
        <v>3</v>
      </c>
      <c r="Q55" s="1">
        <v>2</v>
      </c>
      <c r="R55" s="1">
        <v>1</v>
      </c>
      <c r="S55" s="1">
        <v>-0.32</v>
      </c>
      <c r="T55" s="1">
        <v>-0.23</v>
      </c>
    </row>
    <row r="56" spans="1:20" x14ac:dyDescent="0.2">
      <c r="A56" s="1">
        <v>56</v>
      </c>
      <c r="B56" s="1" t="s">
        <v>70</v>
      </c>
      <c r="C56" s="1">
        <v>1</v>
      </c>
      <c r="D56" s="1">
        <v>4</v>
      </c>
      <c r="E56" s="1" t="s">
        <v>16</v>
      </c>
      <c r="F56" s="1">
        <v>256</v>
      </c>
      <c r="G56" s="1">
        <v>1</v>
      </c>
      <c r="H56" s="1" t="s">
        <v>16</v>
      </c>
      <c r="I56" s="1" t="s">
        <v>16</v>
      </c>
      <c r="J56" s="1" t="s">
        <v>16</v>
      </c>
      <c r="K56" s="1">
        <v>20.350000000000001</v>
      </c>
      <c r="L56" s="1" t="s">
        <v>16</v>
      </c>
      <c r="M56" s="3">
        <v>1</v>
      </c>
      <c r="N56" s="1" t="s">
        <v>16</v>
      </c>
      <c r="O56" s="1">
        <v>22.98</v>
      </c>
      <c r="P56" s="1">
        <v>2</v>
      </c>
      <c r="Q56" s="1">
        <v>2</v>
      </c>
      <c r="R56" s="1">
        <v>1</v>
      </c>
      <c r="S56" s="1" t="s">
        <v>16</v>
      </c>
      <c r="T56" s="1">
        <v>-0.04</v>
      </c>
    </row>
    <row r="57" spans="1:20" x14ac:dyDescent="0.2">
      <c r="A57" s="1">
        <v>57</v>
      </c>
      <c r="B57" s="1" t="s">
        <v>71</v>
      </c>
      <c r="C57" s="1">
        <v>1</v>
      </c>
      <c r="D57" s="1">
        <v>1</v>
      </c>
      <c r="E57" s="1">
        <v>78</v>
      </c>
      <c r="F57" s="1">
        <v>160</v>
      </c>
      <c r="G57" s="1">
        <v>2</v>
      </c>
      <c r="H57" s="3">
        <v>0.91600000000000004</v>
      </c>
      <c r="I57" s="3">
        <v>0.91600000000000004</v>
      </c>
      <c r="J57" s="1">
        <v>20.87</v>
      </c>
      <c r="K57" s="1">
        <v>20.87</v>
      </c>
      <c r="L57" s="3">
        <v>1</v>
      </c>
      <c r="M57" s="3">
        <v>1</v>
      </c>
      <c r="N57" s="1">
        <v>24.84</v>
      </c>
      <c r="O57" s="1">
        <v>24.8</v>
      </c>
      <c r="P57" s="1">
        <v>2</v>
      </c>
      <c r="Q57" s="1">
        <v>1</v>
      </c>
      <c r="R57" s="1">
        <v>1</v>
      </c>
      <c r="S57" s="1">
        <v>-0.17</v>
      </c>
      <c r="T57" s="1">
        <v>-0.31</v>
      </c>
    </row>
    <row r="58" spans="1:20" x14ac:dyDescent="0.2">
      <c r="A58" s="1">
        <v>58</v>
      </c>
      <c r="B58" s="1" t="s">
        <v>72</v>
      </c>
      <c r="C58" s="1">
        <v>1</v>
      </c>
      <c r="D58" s="1">
        <v>1</v>
      </c>
      <c r="E58" s="1" t="s">
        <v>16</v>
      </c>
      <c r="F58" s="1">
        <v>143</v>
      </c>
      <c r="G58" s="1">
        <v>2</v>
      </c>
      <c r="H58" s="1" t="s">
        <v>16</v>
      </c>
      <c r="I58" s="3">
        <v>0.86899999999999999</v>
      </c>
      <c r="J58" s="1" t="s">
        <v>16</v>
      </c>
      <c r="K58" s="1">
        <v>18.68</v>
      </c>
      <c r="L58" s="1" t="s">
        <v>16</v>
      </c>
      <c r="M58" s="3">
        <v>1</v>
      </c>
      <c r="N58" s="1" t="s">
        <v>16</v>
      </c>
      <c r="O58" s="1">
        <v>22.22</v>
      </c>
      <c r="P58" s="1">
        <v>2</v>
      </c>
      <c r="Q58" s="1">
        <v>1</v>
      </c>
      <c r="R58" s="1">
        <v>1</v>
      </c>
      <c r="S58" s="1" t="s">
        <v>16</v>
      </c>
      <c r="T58" s="1">
        <v>-0.36</v>
      </c>
    </row>
    <row r="59" spans="1:20" x14ac:dyDescent="0.2">
      <c r="A59" s="1">
        <v>59</v>
      </c>
      <c r="B59" s="1" t="s">
        <v>73</v>
      </c>
      <c r="C59" s="1">
        <v>1</v>
      </c>
      <c r="D59" s="1">
        <v>1</v>
      </c>
      <c r="E59" s="1" t="s">
        <v>16</v>
      </c>
      <c r="F59" s="1">
        <v>247</v>
      </c>
      <c r="G59" s="1">
        <v>1</v>
      </c>
      <c r="H59" s="1" t="s">
        <v>16</v>
      </c>
      <c r="I59" s="1" t="s">
        <v>16</v>
      </c>
      <c r="J59" s="1" t="s">
        <v>16</v>
      </c>
      <c r="K59" s="1">
        <v>17.8</v>
      </c>
      <c r="L59" s="1" t="s">
        <v>16</v>
      </c>
      <c r="M59" s="3">
        <v>1</v>
      </c>
      <c r="N59" s="1" t="s">
        <v>16</v>
      </c>
      <c r="O59" s="1">
        <v>25.4</v>
      </c>
      <c r="P59" s="1">
        <v>2</v>
      </c>
      <c r="Q59" s="1">
        <v>1</v>
      </c>
      <c r="R59" s="1">
        <v>1</v>
      </c>
      <c r="S59" s="1" t="s">
        <v>16</v>
      </c>
      <c r="T59" s="1">
        <v>-0.44</v>
      </c>
    </row>
    <row r="60" spans="1:20" x14ac:dyDescent="0.2">
      <c r="A60" s="1">
        <v>60</v>
      </c>
      <c r="B60" s="1" t="s">
        <v>74</v>
      </c>
      <c r="C60" s="1">
        <v>1</v>
      </c>
      <c r="D60" s="1">
        <v>1</v>
      </c>
      <c r="E60" s="1" t="s">
        <v>16</v>
      </c>
      <c r="F60" s="1">
        <v>84</v>
      </c>
      <c r="G60" s="1">
        <v>1</v>
      </c>
      <c r="H60" s="1" t="s">
        <v>16</v>
      </c>
      <c r="I60" s="3">
        <v>1</v>
      </c>
      <c r="J60" s="1" t="s">
        <v>16</v>
      </c>
      <c r="K60" s="1">
        <v>17.899999999999999</v>
      </c>
      <c r="L60" s="1" t="s">
        <v>16</v>
      </c>
      <c r="M60" s="3">
        <v>1</v>
      </c>
      <c r="N60" s="1" t="s">
        <v>16</v>
      </c>
      <c r="O60" s="1">
        <v>22.7</v>
      </c>
      <c r="P60" s="1">
        <v>2</v>
      </c>
      <c r="Q60" s="1">
        <v>1</v>
      </c>
      <c r="R60" s="1">
        <v>1</v>
      </c>
      <c r="S60" s="1" t="s">
        <v>16</v>
      </c>
      <c r="T60" s="1">
        <v>-0.36</v>
      </c>
    </row>
    <row r="61" spans="1:20" x14ac:dyDescent="0.2">
      <c r="A61" s="1">
        <v>61</v>
      </c>
      <c r="B61" s="1" t="s">
        <v>75</v>
      </c>
      <c r="C61" s="1">
        <v>1</v>
      </c>
      <c r="D61" s="1">
        <v>1</v>
      </c>
      <c r="E61" s="1" t="s">
        <v>16</v>
      </c>
      <c r="F61" s="1">
        <v>333</v>
      </c>
      <c r="G61" s="1">
        <v>1</v>
      </c>
      <c r="H61" s="1" t="s">
        <v>16</v>
      </c>
      <c r="I61" s="3">
        <v>0.62</v>
      </c>
      <c r="J61" s="1" t="s">
        <v>16</v>
      </c>
      <c r="K61" s="1">
        <v>19.399999999999999</v>
      </c>
      <c r="L61" s="1" t="s">
        <v>16</v>
      </c>
      <c r="M61" s="3">
        <v>1</v>
      </c>
      <c r="N61" s="1" t="s">
        <v>16</v>
      </c>
      <c r="O61" s="1">
        <v>23.5</v>
      </c>
      <c r="P61" s="1">
        <v>2</v>
      </c>
      <c r="Q61" s="1">
        <v>2</v>
      </c>
      <c r="R61" s="1">
        <v>1</v>
      </c>
      <c r="S61" s="1" t="s">
        <v>16</v>
      </c>
      <c r="T61" s="1">
        <v>-0.3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Nanyu Luo</dc:creator>
  <cp:lastModifiedBy>Nanyu Luo</cp:lastModifiedBy>
  <dcterms:created xsi:type="dcterms:W3CDTF">2015-06-05T18:19:34Z</dcterms:created>
  <dcterms:modified xsi:type="dcterms:W3CDTF">2026-02-01T04:57:00Z</dcterms:modified>
</cp:coreProperties>
</file>